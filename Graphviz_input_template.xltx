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14190" windowHeight="4965"/>
  </bookViews>
  <sheets>
    <sheet name="Entete" sheetId="3" r:id="rId1"/>
    <sheet name="Node" sheetId="1" r:id="rId2"/>
    <sheet name="Link" sheetId="2" r:id="rId3"/>
  </sheets>
  <externalReferences>
    <externalReference r:id="rId4"/>
  </externalReferences>
  <definedNames>
    <definedName name="_xlnm._FilterDatabase" localSheetId="2" hidden="1">Link!$A$1:$D$1</definedName>
    <definedName name="_xlnm._FilterDatabase" localSheetId="1" hidden="1">Node!$A$1:$D$1</definedName>
    <definedName name="Objets" localSheetId="0">[1]Node!$B$2:$B299</definedName>
    <definedName name="Objets">Node!$B$2:$B299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A8" i="3"/>
  <c r="B1" i="3"/>
  <c r="A92" i="1" l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comments1.xml><?xml version="1.0" encoding="utf-8"?>
<comments xmlns="http://schemas.openxmlformats.org/spreadsheetml/2006/main">
  <authors>
    <author>Auteur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- pink
- red
- orange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Auteur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- strong
- weak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- false</t>
        </r>
      </text>
    </comment>
  </commentList>
</comments>
</file>

<file path=xl/sharedStrings.xml><?xml version="1.0" encoding="utf-8"?>
<sst xmlns="http://schemas.openxmlformats.org/spreadsheetml/2006/main" count="32" uniqueCount="28">
  <si>
    <t>id</t>
  </si>
  <si>
    <t>red</t>
  </si>
  <si>
    <t>pink</t>
  </si>
  <si>
    <t>orange</t>
  </si>
  <si>
    <t>Node name</t>
  </si>
  <si>
    <t>Node</t>
  </si>
  <si>
    <t>Color</t>
  </si>
  <si>
    <t>Link</t>
  </si>
  <si>
    <t>Target node</t>
  </si>
  <si>
    <t>Source node</t>
  </si>
  <si>
    <t>Link name</t>
  </si>
  <si>
    <t>node1</t>
  </si>
  <si>
    <t>node2</t>
  </si>
  <si>
    <t>node3</t>
  </si>
  <si>
    <t>strong</t>
  </si>
  <si>
    <t>weak</t>
  </si>
  <si>
    <t>Constraint</t>
  </si>
  <si>
    <t>false</t>
  </si>
  <si>
    <t xml:space="preserve"> /*</t>
  </si>
  <si>
    <t xml:space="preserve"> dot input.dot | gvpr -c -fswimy.g | neato -n2 -Tpng &gt; output.png</t>
  </si>
  <si>
    <t xml:space="preserve"> dot input.dot | gvpr -c -fswimy.g | neato -n2 &gt; output.dot</t>
  </si>
  <si>
    <t>cd D:\Users\g.gojard\Projects\graphviz</t>
  </si>
  <si>
    <t xml:space="preserve"> */</t>
  </si>
  <si>
    <t>/*rankdir=LR; overlap=scalexy; splines=ortho; sep=1; nodesep=0.5;*/</t>
  </si>
  <si>
    <t>/*rankdir=TB;overlap=scalexy;splines=ortho;sep=1;nodesep=1;*/</t>
  </si>
  <si>
    <t>node[fontsize=14.0 ,fontname="arial" ,shape=box ,style="rounded"]</t>
  </si>
  <si>
    <t>edge[fontsize=12.0 ,fontname="arial" ,minlen=1.0]</t>
  </si>
  <si>
    <t>titre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</si>
</sst>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" fillId="0" borderId="0" xfId="0" applyFont="1" applyAlignment="1">
      <alignment horizontal="center" vertical="top" wrapText="1"/>
    </xf>
    <xf numFmtId="0" fontId="2" fillId="2" borderId="0" xfId="0" applyFont="1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3" borderId="0" xfId="0" applyFill="1" applyAlignment="1">
      <alignment horizontal="left" vertical="top"/>
    </xf>
    <xf numFmtId="0" fontId="2" fillId="4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0" fillId="3" borderId="0" xfId="0" applyFill="1" applyAlignment="1">
      <alignment vertical="top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g.gojard\Documents\Lectra\Donnees\_ChantierTransfoDonn&#233;es\MCD_Graphviz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te"/>
      <sheetName val="Node"/>
      <sheetName val="Link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tabSelected="1" workbookViewId="0">
      <selection sqref="A1:C16"/>
    </sheetView>
  </sheetViews>
  <sheetFormatPr baseColWidth="10" defaultRowHeight="15" x14ac:dyDescent="0.25"/>
  <sheetData>
    <row r="1" spans="1:2" x14ac:dyDescent="0.25">
      <c r="A1" s="16" t="s">
        <v>27</v>
      </c>
      <c r="B1" t="str">
        <f>"digraph "&amp;A1&amp;" {"</f>
        <v>digraph titre {</v>
      </c>
    </row>
    <row r="3" spans="1:2" x14ac:dyDescent="0.25">
      <c r="B3" t="s">
        <v>18</v>
      </c>
    </row>
    <row r="4" spans="1:2" x14ac:dyDescent="0.25">
      <c r="B4" t="s">
        <v>19</v>
      </c>
    </row>
    <row r="5" spans="1:2" x14ac:dyDescent="0.25">
      <c r="B5" t="s">
        <v>20</v>
      </c>
    </row>
    <row r="7" spans="1:2" x14ac:dyDescent="0.25">
      <c r="B7" t="s">
        <v>21</v>
      </c>
    </row>
    <row r="8" spans="1:2" x14ac:dyDescent="0.25">
      <c r="A8" s="17" t="str">
        <f>A1</f>
        <v>titre</v>
      </c>
      <c r="B8" t="str">
        <f>"D:\Users\g.gojard\Documents\Applications\graphviz-2.38\bin\dot.exe input/"&amp;A8&amp;".dot  -Tpng  -o output/"&amp;A8&amp;".png"</f>
        <v>D:\Users\g.gojard\Documents\Applications\graphviz-2.38\bin\dot.exe input/titre.dot  -Tpng  -o output/titre.png</v>
      </c>
    </row>
    <row r="10" spans="1:2" x14ac:dyDescent="0.25">
      <c r="B10" t="s">
        <v>22</v>
      </c>
    </row>
    <row r="12" spans="1:2" x14ac:dyDescent="0.25">
      <c r="B12" t="s">
        <v>23</v>
      </c>
    </row>
    <row r="13" spans="1:2" x14ac:dyDescent="0.25">
      <c r="B13" t="s">
        <v>24</v>
      </c>
    </row>
    <row r="15" spans="1:2" x14ac:dyDescent="0.25">
      <c r="B15" t="s">
        <v>25</v>
      </c>
    </row>
    <row r="16" spans="1:2" x14ac:dyDescent="0.25">
      <c r="B16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92"/>
  <sheetViews>
    <sheetView zoomScaleNormal="100" workbookViewId="0">
      <selection activeCell="D1" sqref="D1"/>
    </sheetView>
  </sheetViews>
  <sheetFormatPr baseColWidth="10" defaultColWidth="9.140625" defaultRowHeight="15" x14ac:dyDescent="0.25"/>
  <cols>
    <col min="1" max="1" width="33.7109375" style="6" bestFit="1" customWidth="1"/>
    <col min="2" max="2" width="54.28515625" style="11" customWidth="1"/>
    <col min="3" max="3" width="8.140625" style="5" customWidth="1"/>
    <col min="4" max="4" width="36.5703125" style="2" customWidth="1"/>
    <col min="5" max="16384" width="9.140625" style="1"/>
  </cols>
  <sheetData>
    <row r="1" spans="1:4" s="3" customFormat="1" ht="21" x14ac:dyDescent="0.25">
      <c r="A1" s="4" t="s">
        <v>5</v>
      </c>
      <c r="B1" s="14" t="s">
        <v>4</v>
      </c>
      <c r="C1" s="8" t="s">
        <v>0</v>
      </c>
      <c r="D1" s="4" t="s">
        <v>6</v>
      </c>
    </row>
    <row r="2" spans="1:4" s="3" customFormat="1" ht="21" x14ac:dyDescent="0.25">
      <c r="A2" s="6" t="str">
        <f>CONCATENATE("""",C2,""" [label=""",B2,"""",IF(D2="","];",", color="""&amp;D2&amp;"""];"))</f>
        <v>"0" [label="node1", color="pink"];</v>
      </c>
      <c r="B2" s="11" t="s">
        <v>11</v>
      </c>
      <c r="C2" s="5">
        <v>0</v>
      </c>
      <c r="D2" s="2" t="s">
        <v>2</v>
      </c>
    </row>
    <row r="3" spans="1:4" x14ac:dyDescent="0.25">
      <c r="A3" s="6" t="str">
        <f t="shared" ref="A3:A66" si="0">CONCATENATE("""",C3,""" [label=""",B3,"""",IF(D3="","];",", color="""&amp;D3&amp;"""];"))</f>
        <v>"1" [label="node2", color="red"];</v>
      </c>
      <c r="B3" s="11" t="s">
        <v>12</v>
      </c>
      <c r="C3" s="5">
        <v>1</v>
      </c>
      <c r="D3" s="2" t="s">
        <v>1</v>
      </c>
    </row>
    <row r="4" spans="1:4" x14ac:dyDescent="0.25">
      <c r="A4" s="6" t="str">
        <f t="shared" si="0"/>
        <v>"2" [label="node3", color="orange"];</v>
      </c>
      <c r="B4" s="11" t="s">
        <v>13</v>
      </c>
      <c r="C4" s="5">
        <v>2</v>
      </c>
      <c r="D4" s="2" t="s">
        <v>3</v>
      </c>
    </row>
    <row r="5" spans="1:4" x14ac:dyDescent="0.25">
      <c r="A5" s="6" t="str">
        <f t="shared" si="0"/>
        <v>"3" [label=""];</v>
      </c>
      <c r="C5" s="5">
        <v>3</v>
      </c>
    </row>
    <row r="6" spans="1:4" x14ac:dyDescent="0.25">
      <c r="A6" s="6" t="str">
        <f t="shared" si="0"/>
        <v>"4" [label=""];</v>
      </c>
      <c r="C6" s="5">
        <v>4</v>
      </c>
    </row>
    <row r="7" spans="1:4" x14ac:dyDescent="0.25">
      <c r="A7" s="6" t="str">
        <f t="shared" si="0"/>
        <v>"5" [label=""];</v>
      </c>
      <c r="C7" s="5">
        <v>5</v>
      </c>
    </row>
    <row r="8" spans="1:4" x14ac:dyDescent="0.25">
      <c r="A8" s="6" t="str">
        <f t="shared" si="0"/>
        <v>"6" [label=""];</v>
      </c>
      <c r="C8" s="5">
        <v>6</v>
      </c>
    </row>
    <row r="9" spans="1:4" x14ac:dyDescent="0.25">
      <c r="A9" s="6" t="str">
        <f t="shared" si="0"/>
        <v>"7" [label=""];</v>
      </c>
      <c r="C9" s="5">
        <v>7</v>
      </c>
    </row>
    <row r="10" spans="1:4" x14ac:dyDescent="0.25">
      <c r="A10" s="6" t="str">
        <f t="shared" si="0"/>
        <v>"8" [label=""];</v>
      </c>
      <c r="C10" s="5">
        <v>8</v>
      </c>
    </row>
    <row r="11" spans="1:4" x14ac:dyDescent="0.25">
      <c r="A11" s="6" t="str">
        <f t="shared" si="0"/>
        <v>"9" [label=""];</v>
      </c>
      <c r="C11" s="5">
        <v>9</v>
      </c>
    </row>
    <row r="12" spans="1:4" x14ac:dyDescent="0.25">
      <c r="A12" s="6" t="str">
        <f t="shared" si="0"/>
        <v>"10" [label=""];</v>
      </c>
      <c r="C12" s="5">
        <v>10</v>
      </c>
    </row>
    <row r="13" spans="1:4" x14ac:dyDescent="0.25">
      <c r="A13" s="6" t="str">
        <f t="shared" si="0"/>
        <v>"11" [label=""];</v>
      </c>
      <c r="C13" s="5">
        <v>11</v>
      </c>
    </row>
    <row r="14" spans="1:4" x14ac:dyDescent="0.25">
      <c r="A14" s="6" t="str">
        <f t="shared" si="0"/>
        <v>"12" [label=""];</v>
      </c>
      <c r="C14" s="5">
        <v>12</v>
      </c>
    </row>
    <row r="15" spans="1:4" x14ac:dyDescent="0.25">
      <c r="A15" s="6" t="str">
        <f t="shared" si="0"/>
        <v>"13" [label=""];</v>
      </c>
      <c r="C15" s="5">
        <v>13</v>
      </c>
    </row>
    <row r="16" spans="1:4" x14ac:dyDescent="0.25">
      <c r="A16" s="6" t="str">
        <f t="shared" si="0"/>
        <v>"14" [label=""];</v>
      </c>
      <c r="C16" s="5">
        <v>14</v>
      </c>
    </row>
    <row r="17" spans="1:3" x14ac:dyDescent="0.25">
      <c r="A17" s="6" t="str">
        <f t="shared" si="0"/>
        <v>"15" [label=""];</v>
      </c>
      <c r="C17" s="5">
        <v>15</v>
      </c>
    </row>
    <row r="18" spans="1:3" x14ac:dyDescent="0.25">
      <c r="A18" s="6" t="str">
        <f t="shared" si="0"/>
        <v>"16" [label=""];</v>
      </c>
      <c r="C18" s="5">
        <v>16</v>
      </c>
    </row>
    <row r="19" spans="1:3" x14ac:dyDescent="0.25">
      <c r="A19" s="6" t="str">
        <f t="shared" si="0"/>
        <v>"17" [label=""];</v>
      </c>
      <c r="C19" s="5">
        <v>17</v>
      </c>
    </row>
    <row r="20" spans="1:3" x14ac:dyDescent="0.25">
      <c r="A20" s="6" t="str">
        <f t="shared" si="0"/>
        <v>"18" [label=""];</v>
      </c>
      <c r="C20" s="5">
        <v>18</v>
      </c>
    </row>
    <row r="21" spans="1:3" x14ac:dyDescent="0.25">
      <c r="A21" s="6" t="str">
        <f t="shared" si="0"/>
        <v>"19" [label=""];</v>
      </c>
      <c r="C21" s="5">
        <v>19</v>
      </c>
    </row>
    <row r="22" spans="1:3" x14ac:dyDescent="0.25">
      <c r="A22" s="6" t="str">
        <f t="shared" si="0"/>
        <v>"20" [label=""];</v>
      </c>
      <c r="C22" s="5">
        <v>20</v>
      </c>
    </row>
    <row r="23" spans="1:3" x14ac:dyDescent="0.25">
      <c r="A23" s="6" t="str">
        <f t="shared" si="0"/>
        <v>"21" [label=""];</v>
      </c>
      <c r="C23" s="5">
        <v>21</v>
      </c>
    </row>
    <row r="24" spans="1:3" x14ac:dyDescent="0.25">
      <c r="A24" s="6" t="str">
        <f t="shared" si="0"/>
        <v>"22" [label=""];</v>
      </c>
      <c r="C24" s="5">
        <v>22</v>
      </c>
    </row>
    <row r="25" spans="1:3" x14ac:dyDescent="0.25">
      <c r="A25" s="6" t="str">
        <f t="shared" si="0"/>
        <v>"23" [label=""];</v>
      </c>
      <c r="C25" s="5">
        <v>23</v>
      </c>
    </row>
    <row r="26" spans="1:3" x14ac:dyDescent="0.25">
      <c r="A26" s="6" t="str">
        <f t="shared" si="0"/>
        <v>"24" [label=""];</v>
      </c>
      <c r="C26" s="5">
        <v>24</v>
      </c>
    </row>
    <row r="27" spans="1:3" x14ac:dyDescent="0.25">
      <c r="A27" s="6" t="str">
        <f t="shared" si="0"/>
        <v>"25" [label=""];</v>
      </c>
      <c r="C27" s="5">
        <v>25</v>
      </c>
    </row>
    <row r="28" spans="1:3" x14ac:dyDescent="0.25">
      <c r="A28" s="6" t="str">
        <f t="shared" si="0"/>
        <v>"26" [label=""];</v>
      </c>
      <c r="C28" s="5">
        <v>26</v>
      </c>
    </row>
    <row r="29" spans="1:3" x14ac:dyDescent="0.25">
      <c r="A29" s="6" t="str">
        <f t="shared" si="0"/>
        <v>"27" [label=""];</v>
      </c>
      <c r="C29" s="5">
        <v>27</v>
      </c>
    </row>
    <row r="30" spans="1:3" x14ac:dyDescent="0.25">
      <c r="A30" s="6" t="str">
        <f t="shared" si="0"/>
        <v>"28" [label=""];</v>
      </c>
      <c r="C30" s="5">
        <v>28</v>
      </c>
    </row>
    <row r="31" spans="1:3" x14ac:dyDescent="0.25">
      <c r="A31" s="6" t="str">
        <f t="shared" si="0"/>
        <v>"29" [label=""];</v>
      </c>
      <c r="C31" s="5">
        <v>29</v>
      </c>
    </row>
    <row r="32" spans="1:3" x14ac:dyDescent="0.25">
      <c r="A32" s="6" t="str">
        <f t="shared" si="0"/>
        <v>"30" [label=""];</v>
      </c>
      <c r="C32" s="5">
        <v>30</v>
      </c>
    </row>
    <row r="33" spans="1:3" x14ac:dyDescent="0.25">
      <c r="A33" s="6" t="str">
        <f t="shared" si="0"/>
        <v>"31" [label=""];</v>
      </c>
      <c r="C33" s="5">
        <v>31</v>
      </c>
    </row>
    <row r="34" spans="1:3" x14ac:dyDescent="0.25">
      <c r="A34" s="6" t="str">
        <f t="shared" si="0"/>
        <v>"32" [label=""];</v>
      </c>
      <c r="C34" s="5">
        <v>32</v>
      </c>
    </row>
    <row r="35" spans="1:3" x14ac:dyDescent="0.25">
      <c r="A35" s="6" t="str">
        <f t="shared" si="0"/>
        <v>"33" [label=""];</v>
      </c>
      <c r="C35" s="5">
        <v>33</v>
      </c>
    </row>
    <row r="36" spans="1:3" x14ac:dyDescent="0.25">
      <c r="A36" s="6" t="str">
        <f t="shared" si="0"/>
        <v>"34" [label=""];</v>
      </c>
      <c r="C36" s="5">
        <v>34</v>
      </c>
    </row>
    <row r="37" spans="1:3" x14ac:dyDescent="0.25">
      <c r="A37" s="6" t="str">
        <f t="shared" si="0"/>
        <v>"35" [label=""];</v>
      </c>
      <c r="C37" s="5">
        <v>35</v>
      </c>
    </row>
    <row r="38" spans="1:3" x14ac:dyDescent="0.25">
      <c r="A38" s="6" t="str">
        <f t="shared" si="0"/>
        <v>"36" [label=""];</v>
      </c>
      <c r="C38" s="5">
        <v>36</v>
      </c>
    </row>
    <row r="39" spans="1:3" x14ac:dyDescent="0.25">
      <c r="A39" s="6" t="str">
        <f t="shared" si="0"/>
        <v>"37" [label=""];</v>
      </c>
      <c r="C39" s="5">
        <v>37</v>
      </c>
    </row>
    <row r="40" spans="1:3" x14ac:dyDescent="0.25">
      <c r="A40" s="6" t="str">
        <f t="shared" si="0"/>
        <v>"38" [label=""];</v>
      </c>
      <c r="C40" s="5">
        <v>38</v>
      </c>
    </row>
    <row r="41" spans="1:3" x14ac:dyDescent="0.25">
      <c r="A41" s="6" t="str">
        <f t="shared" si="0"/>
        <v>"39" [label=""];</v>
      </c>
      <c r="C41" s="5">
        <v>39</v>
      </c>
    </row>
    <row r="42" spans="1:3" x14ac:dyDescent="0.25">
      <c r="A42" s="6" t="str">
        <f t="shared" si="0"/>
        <v>"40" [label=""];</v>
      </c>
      <c r="C42" s="5">
        <v>40</v>
      </c>
    </row>
    <row r="43" spans="1:3" x14ac:dyDescent="0.25">
      <c r="A43" s="6" t="str">
        <f t="shared" si="0"/>
        <v>"41" [label=""];</v>
      </c>
      <c r="C43" s="5">
        <v>41</v>
      </c>
    </row>
    <row r="44" spans="1:3" x14ac:dyDescent="0.25">
      <c r="A44" s="6" t="str">
        <f t="shared" si="0"/>
        <v>"42" [label=""];</v>
      </c>
      <c r="C44" s="5">
        <v>42</v>
      </c>
    </row>
    <row r="45" spans="1:3" x14ac:dyDescent="0.25">
      <c r="A45" s="6" t="str">
        <f t="shared" si="0"/>
        <v>"43" [label=""];</v>
      </c>
      <c r="C45" s="5">
        <v>43</v>
      </c>
    </row>
    <row r="46" spans="1:3" x14ac:dyDescent="0.25">
      <c r="A46" s="6" t="str">
        <f t="shared" si="0"/>
        <v>"44" [label=""];</v>
      </c>
      <c r="C46" s="5">
        <v>44</v>
      </c>
    </row>
    <row r="47" spans="1:3" x14ac:dyDescent="0.25">
      <c r="A47" s="6" t="str">
        <f t="shared" si="0"/>
        <v>"45" [label=""];</v>
      </c>
      <c r="C47" s="5">
        <v>45</v>
      </c>
    </row>
    <row r="48" spans="1:3" x14ac:dyDescent="0.25">
      <c r="A48" s="6" t="str">
        <f t="shared" si="0"/>
        <v>"46" [label=""];</v>
      </c>
      <c r="C48" s="5">
        <v>46</v>
      </c>
    </row>
    <row r="49" spans="1:3" x14ac:dyDescent="0.25">
      <c r="A49" s="6" t="str">
        <f t="shared" si="0"/>
        <v>"47" [label=""];</v>
      </c>
      <c r="C49" s="5">
        <v>47</v>
      </c>
    </row>
    <row r="50" spans="1:3" x14ac:dyDescent="0.25">
      <c r="A50" s="6" t="str">
        <f t="shared" si="0"/>
        <v>"48" [label=""];</v>
      </c>
      <c r="C50" s="5">
        <v>48</v>
      </c>
    </row>
    <row r="51" spans="1:3" x14ac:dyDescent="0.25">
      <c r="A51" s="6" t="str">
        <f t="shared" si="0"/>
        <v>"49" [label=""];</v>
      </c>
      <c r="C51" s="5">
        <v>49</v>
      </c>
    </row>
    <row r="52" spans="1:3" x14ac:dyDescent="0.25">
      <c r="A52" s="6" t="str">
        <f t="shared" si="0"/>
        <v>"50" [label=""];</v>
      </c>
      <c r="C52" s="5">
        <v>50</v>
      </c>
    </row>
    <row r="53" spans="1:3" x14ac:dyDescent="0.25">
      <c r="A53" s="6" t="str">
        <f t="shared" si="0"/>
        <v>"51" [label=""];</v>
      </c>
      <c r="C53" s="5">
        <v>51</v>
      </c>
    </row>
    <row r="54" spans="1:3" x14ac:dyDescent="0.25">
      <c r="A54" s="6" t="str">
        <f t="shared" si="0"/>
        <v>"52" [label=""];</v>
      </c>
      <c r="C54" s="5">
        <v>52</v>
      </c>
    </row>
    <row r="55" spans="1:3" x14ac:dyDescent="0.25">
      <c r="A55" s="6" t="str">
        <f t="shared" si="0"/>
        <v>"53" [label=""];</v>
      </c>
      <c r="C55" s="5">
        <v>53</v>
      </c>
    </row>
    <row r="56" spans="1:3" x14ac:dyDescent="0.25">
      <c r="A56" s="6" t="str">
        <f t="shared" si="0"/>
        <v>"54" [label=""];</v>
      </c>
      <c r="C56" s="5">
        <v>54</v>
      </c>
    </row>
    <row r="57" spans="1:3" x14ac:dyDescent="0.25">
      <c r="A57" s="6" t="str">
        <f t="shared" si="0"/>
        <v>"55" [label=""];</v>
      </c>
      <c r="C57" s="5">
        <v>55</v>
      </c>
    </row>
    <row r="58" spans="1:3" x14ac:dyDescent="0.25">
      <c r="A58" s="6" t="str">
        <f t="shared" si="0"/>
        <v>"56" [label=""];</v>
      </c>
      <c r="C58" s="5">
        <v>56</v>
      </c>
    </row>
    <row r="59" spans="1:3" x14ac:dyDescent="0.25">
      <c r="A59" s="6" t="str">
        <f t="shared" si="0"/>
        <v>"57" [label=""];</v>
      </c>
      <c r="B59" s="15"/>
      <c r="C59" s="5">
        <v>57</v>
      </c>
    </row>
    <row r="60" spans="1:3" x14ac:dyDescent="0.25">
      <c r="A60" s="6" t="str">
        <f t="shared" si="0"/>
        <v>"58" [label=""];</v>
      </c>
      <c r="B60" s="15"/>
      <c r="C60" s="5">
        <v>58</v>
      </c>
    </row>
    <row r="61" spans="1:3" x14ac:dyDescent="0.25">
      <c r="A61" s="6" t="str">
        <f t="shared" si="0"/>
        <v>"59" [label=""];</v>
      </c>
      <c r="C61" s="5">
        <v>59</v>
      </c>
    </row>
    <row r="62" spans="1:3" x14ac:dyDescent="0.25">
      <c r="A62" s="6" t="str">
        <f t="shared" si="0"/>
        <v>"60" [label=""];</v>
      </c>
      <c r="C62" s="5">
        <v>60</v>
      </c>
    </row>
    <row r="63" spans="1:3" x14ac:dyDescent="0.25">
      <c r="A63" s="6" t="str">
        <f t="shared" si="0"/>
        <v>"61" [label=""];</v>
      </c>
      <c r="B63" s="15"/>
      <c r="C63" s="5">
        <v>61</v>
      </c>
    </row>
    <row r="64" spans="1:3" x14ac:dyDescent="0.25">
      <c r="A64" s="6" t="str">
        <f t="shared" si="0"/>
        <v>"62" [label=""];</v>
      </c>
      <c r="C64" s="5">
        <v>62</v>
      </c>
    </row>
    <row r="65" spans="1:3" x14ac:dyDescent="0.25">
      <c r="A65" s="6" t="str">
        <f t="shared" si="0"/>
        <v>"63" [label=""];</v>
      </c>
      <c r="C65" s="5">
        <v>63</v>
      </c>
    </row>
    <row r="66" spans="1:3" x14ac:dyDescent="0.25">
      <c r="A66" s="6" t="str">
        <f t="shared" si="0"/>
        <v>"64" [label=""];</v>
      </c>
      <c r="C66" s="5">
        <v>64</v>
      </c>
    </row>
    <row r="67" spans="1:3" x14ac:dyDescent="0.25">
      <c r="A67" s="6" t="str">
        <f t="shared" ref="A67:A92" si="1">CONCATENATE("""",C67,""" [label=""",B67,"""",IF(D67="","];",", color="""&amp;D67&amp;"""];"))</f>
        <v>"65" [label=""];</v>
      </c>
      <c r="C67" s="5">
        <v>65</v>
      </c>
    </row>
    <row r="68" spans="1:3" x14ac:dyDescent="0.25">
      <c r="A68" s="6" t="str">
        <f t="shared" si="1"/>
        <v>"66" [label=""];</v>
      </c>
      <c r="C68" s="5">
        <v>66</v>
      </c>
    </row>
    <row r="69" spans="1:3" x14ac:dyDescent="0.25">
      <c r="A69" s="6" t="str">
        <f t="shared" si="1"/>
        <v>"67" [label=""];</v>
      </c>
      <c r="C69" s="5">
        <v>67</v>
      </c>
    </row>
    <row r="70" spans="1:3" x14ac:dyDescent="0.25">
      <c r="A70" s="6" t="str">
        <f t="shared" si="1"/>
        <v>"68" [label=""];</v>
      </c>
      <c r="C70" s="5">
        <v>68</v>
      </c>
    </row>
    <row r="71" spans="1:3" x14ac:dyDescent="0.25">
      <c r="A71" s="6" t="str">
        <f t="shared" si="1"/>
        <v>"69" [label=""];</v>
      </c>
      <c r="C71" s="5">
        <v>69</v>
      </c>
    </row>
    <row r="72" spans="1:3" x14ac:dyDescent="0.25">
      <c r="A72" s="6" t="str">
        <f t="shared" si="1"/>
        <v>"70" [label=""];</v>
      </c>
      <c r="C72" s="5">
        <v>70</v>
      </c>
    </row>
    <row r="73" spans="1:3" x14ac:dyDescent="0.25">
      <c r="A73" s="6" t="str">
        <f t="shared" si="1"/>
        <v>"71" [label=""];</v>
      </c>
      <c r="C73" s="5">
        <v>71</v>
      </c>
    </row>
    <row r="74" spans="1:3" x14ac:dyDescent="0.25">
      <c r="A74" s="6" t="str">
        <f t="shared" si="1"/>
        <v>"72" [label=""];</v>
      </c>
      <c r="C74" s="5">
        <v>72</v>
      </c>
    </row>
    <row r="75" spans="1:3" x14ac:dyDescent="0.25">
      <c r="A75" s="6" t="str">
        <f t="shared" si="1"/>
        <v>"73" [label=""];</v>
      </c>
      <c r="C75" s="5">
        <v>73</v>
      </c>
    </row>
    <row r="76" spans="1:3" x14ac:dyDescent="0.25">
      <c r="A76" s="6" t="str">
        <f t="shared" si="1"/>
        <v>"74" [label=""];</v>
      </c>
      <c r="C76" s="5">
        <v>74</v>
      </c>
    </row>
    <row r="77" spans="1:3" x14ac:dyDescent="0.25">
      <c r="A77" s="6" t="str">
        <f t="shared" si="1"/>
        <v>"75" [label=""];</v>
      </c>
      <c r="C77" s="5">
        <v>75</v>
      </c>
    </row>
    <row r="78" spans="1:3" x14ac:dyDescent="0.25">
      <c r="A78" s="6" t="str">
        <f t="shared" si="1"/>
        <v>"76" [label=""];</v>
      </c>
      <c r="C78" s="5">
        <v>76</v>
      </c>
    </row>
    <row r="79" spans="1:3" x14ac:dyDescent="0.25">
      <c r="A79" s="6" t="str">
        <f t="shared" si="1"/>
        <v>"77" [label=""];</v>
      </c>
      <c r="C79" s="5">
        <v>77</v>
      </c>
    </row>
    <row r="80" spans="1:3" x14ac:dyDescent="0.25">
      <c r="A80" s="6" t="str">
        <f t="shared" si="1"/>
        <v>"78" [label=""];</v>
      </c>
      <c r="C80" s="5">
        <v>78</v>
      </c>
    </row>
    <row r="81" spans="1:3" x14ac:dyDescent="0.25">
      <c r="A81" s="6" t="str">
        <f t="shared" si="1"/>
        <v>"79" [label=""];</v>
      </c>
      <c r="C81" s="5">
        <v>79</v>
      </c>
    </row>
    <row r="82" spans="1:3" x14ac:dyDescent="0.25">
      <c r="A82" s="6" t="str">
        <f t="shared" si="1"/>
        <v>"80" [label=""];</v>
      </c>
      <c r="C82" s="5">
        <v>80</v>
      </c>
    </row>
    <row r="83" spans="1:3" x14ac:dyDescent="0.25">
      <c r="A83" s="6" t="str">
        <f t="shared" si="1"/>
        <v>"81" [label=""];</v>
      </c>
      <c r="C83" s="5">
        <v>81</v>
      </c>
    </row>
    <row r="84" spans="1:3" x14ac:dyDescent="0.25">
      <c r="A84" s="6" t="str">
        <f t="shared" si="1"/>
        <v>"82" [label=""];</v>
      </c>
      <c r="C84" s="5">
        <v>82</v>
      </c>
    </row>
    <row r="85" spans="1:3" x14ac:dyDescent="0.25">
      <c r="A85" s="6" t="str">
        <f t="shared" si="1"/>
        <v>"83" [label=""];</v>
      </c>
      <c r="C85" s="5">
        <v>83</v>
      </c>
    </row>
    <row r="86" spans="1:3" x14ac:dyDescent="0.25">
      <c r="A86" s="6" t="str">
        <f t="shared" si="1"/>
        <v>"84" [label=""];</v>
      </c>
      <c r="C86" s="5">
        <v>84</v>
      </c>
    </row>
    <row r="87" spans="1:3" x14ac:dyDescent="0.25">
      <c r="A87" s="6" t="str">
        <f t="shared" si="1"/>
        <v>"85" [label=""];</v>
      </c>
      <c r="C87" s="5">
        <v>85</v>
      </c>
    </row>
    <row r="88" spans="1:3" x14ac:dyDescent="0.25">
      <c r="A88" s="6" t="str">
        <f t="shared" si="1"/>
        <v>"86" [label=""];</v>
      </c>
      <c r="C88" s="5">
        <v>86</v>
      </c>
    </row>
    <row r="89" spans="1:3" x14ac:dyDescent="0.25">
      <c r="A89" s="6" t="str">
        <f t="shared" si="1"/>
        <v>"87" [label=""];</v>
      </c>
      <c r="C89" s="5">
        <v>87</v>
      </c>
    </row>
    <row r="90" spans="1:3" x14ac:dyDescent="0.25">
      <c r="A90" s="6" t="str">
        <f t="shared" si="1"/>
        <v>"88" [label=""];</v>
      </c>
      <c r="C90" s="5">
        <v>88</v>
      </c>
    </row>
    <row r="91" spans="1:3" x14ac:dyDescent="0.25">
      <c r="A91" s="6" t="str">
        <f t="shared" si="1"/>
        <v>"89" [label=""];</v>
      </c>
      <c r="C91" s="5">
        <v>89</v>
      </c>
    </row>
    <row r="92" spans="1:3" x14ac:dyDescent="0.25">
      <c r="A92" s="6" t="str">
        <f t="shared" si="1"/>
        <v>"90" [label=""];</v>
      </c>
      <c r="C92" s="5">
        <v>90</v>
      </c>
    </row>
  </sheetData>
  <autoFilter ref="A1:D1"/>
  <dataValidations disablePrompts="1" count="1">
    <dataValidation type="list" allowBlank="1" showInputMessage="1" showErrorMessage="1" sqref="B59:B60 B63">
      <formula1>Objets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65"/>
  <sheetViews>
    <sheetView workbookViewId="0">
      <selection activeCell="G16" sqref="G16"/>
    </sheetView>
  </sheetViews>
  <sheetFormatPr baseColWidth="10" defaultRowHeight="15" x14ac:dyDescent="0.25"/>
  <cols>
    <col min="1" max="1" width="54.140625" style="7" customWidth="1"/>
    <col min="2" max="2" width="26.140625" style="10" customWidth="1"/>
    <col min="3" max="3" width="20.140625" style="5" customWidth="1"/>
    <col min="4" max="4" width="17.140625" style="13" customWidth="1"/>
    <col min="5" max="5" width="15.28515625" style="5" customWidth="1"/>
    <col min="6" max="16384" width="11.42578125" style="7"/>
  </cols>
  <sheetData>
    <row r="1" spans="1:5" ht="34.5" customHeight="1" x14ac:dyDescent="0.25">
      <c r="A1" s="4" t="s">
        <v>7</v>
      </c>
      <c r="B1" s="9" t="s">
        <v>9</v>
      </c>
      <c r="C1" s="8" t="s">
        <v>10</v>
      </c>
      <c r="D1" s="12" t="s">
        <v>8</v>
      </c>
      <c r="E1" s="8" t="s">
        <v>16</v>
      </c>
    </row>
    <row r="2" spans="1:5" x14ac:dyDescent="0.25">
      <c r="A2" s="6" t="str">
        <f>CONCATENATE("""",VLOOKUP(B2,Node!$B$2:C299,2,FALSE),""" -&gt; """,VLOOKUP(D2,Node!$B$2:C299,2,FALSE),""""," [label=""",C2,"""",IF(E2="","]",", constraint="""&amp;E2&amp;"""]"))</f>
        <v>"0" -&gt; "1" [label="strong", constraint="false"]</v>
      </c>
      <c r="B2" s="10" t="s">
        <v>11</v>
      </c>
      <c r="C2" s="5" t="s">
        <v>14</v>
      </c>
      <c r="D2" s="13" t="s">
        <v>12</v>
      </c>
      <c r="E2" s="5" t="s">
        <v>17</v>
      </c>
    </row>
    <row r="3" spans="1:5" x14ac:dyDescent="0.25">
      <c r="A3" s="6" t="str">
        <f>CONCATENATE("""",VLOOKUP(B3,Node!$B$2:C300,2,FALSE),""" -&gt; """,VLOOKUP(D3,Node!$B$2:C300,2,FALSE),""""," [label=""",C3,"""",IF(E3="","]",", constraint="""&amp;E3&amp;"""]"))</f>
        <v>"1" -&gt; "2" [label="weak"]</v>
      </c>
      <c r="B3" s="10" t="s">
        <v>12</v>
      </c>
      <c r="C3" s="5" t="s">
        <v>15</v>
      </c>
      <c r="D3" s="13" t="s">
        <v>13</v>
      </c>
    </row>
    <row r="4" spans="1:5" x14ac:dyDescent="0.25">
      <c r="A4" s="6" t="e">
        <f>CONCATENATE("""",VLOOKUP(B4,Node!$B$2:C301,2,FALSE),""" -&gt; """,VLOOKUP(D4,Node!$B$2:C301,2,FALSE),""""," [label=""",C4,"""",IF(E4="","]",", constraint="""&amp;E4&amp;"""]"))</f>
        <v>#N/A</v>
      </c>
    </row>
    <row r="5" spans="1:5" x14ac:dyDescent="0.25">
      <c r="A5" s="6" t="e">
        <f>CONCATENATE("""",VLOOKUP(B5,Node!$B$2:C302,2,FALSE),""" -&gt; """,VLOOKUP(D5,Node!$B$2:C302,2,FALSE),""""," [label=""",C5,"""",IF(E5="","]",", constraint="""&amp;E5&amp;"""]"))</f>
        <v>#N/A</v>
      </c>
    </row>
    <row r="6" spans="1:5" x14ac:dyDescent="0.25">
      <c r="A6" s="6" t="e">
        <f>CONCATENATE("""",VLOOKUP(B6,Node!$B$2:C303,2,FALSE),""" -&gt; """,VLOOKUP(D6,Node!$B$2:C303,2,FALSE),""""," [label=""",C6,"""",IF(E6="","]",", constraint="""&amp;E6&amp;"""]"))</f>
        <v>#N/A</v>
      </c>
    </row>
    <row r="7" spans="1:5" x14ac:dyDescent="0.25">
      <c r="A7" s="6" t="e">
        <f>CONCATENATE("""",VLOOKUP(B7,Node!$B$2:C304,2,FALSE),""" -&gt; """,VLOOKUP(D7,Node!$B$2:C304,2,FALSE),""""," [label=""",C7,"""",IF(E7="","]",", constraint="""&amp;E7&amp;"""]"))</f>
        <v>#N/A</v>
      </c>
    </row>
    <row r="8" spans="1:5" x14ac:dyDescent="0.25">
      <c r="A8" s="6" t="e">
        <f>CONCATENATE("""",VLOOKUP(B8,Node!$B$2:C305,2,FALSE),""" -&gt; """,VLOOKUP(D8,Node!$B$2:C305,2,FALSE),""""," [label=""",C8,"""",IF(E8="","]",", constraint="""&amp;E8&amp;"""]"))</f>
        <v>#N/A</v>
      </c>
    </row>
    <row r="9" spans="1:5" x14ac:dyDescent="0.25">
      <c r="A9" s="6" t="e">
        <f>CONCATENATE("""",VLOOKUP(B9,Node!$B$2:C306,2,FALSE),""" -&gt; """,VLOOKUP(D9,Node!$B$2:C306,2,FALSE),""""," [label=""",C9,"""",IF(E9="","]",", constraint="""&amp;E9&amp;"""]"))</f>
        <v>#N/A</v>
      </c>
    </row>
    <row r="10" spans="1:5" x14ac:dyDescent="0.25">
      <c r="A10" s="6" t="e">
        <f>CONCATENATE("""",VLOOKUP(B10,Node!$B$2:C307,2,FALSE),""" -&gt; """,VLOOKUP(D10,Node!$B$2:C307,2,FALSE),""""," [label=""",C10,"""",IF(E10="","]",", constraint="""&amp;E10&amp;"""]"))</f>
        <v>#N/A</v>
      </c>
    </row>
    <row r="11" spans="1:5" x14ac:dyDescent="0.25">
      <c r="A11" s="6" t="e">
        <f>CONCATENATE("""",VLOOKUP(B11,Node!$B$2:C308,2,FALSE),""" -&gt; """,VLOOKUP(D11,Node!$B$2:C308,2,FALSE),""""," [label=""",C11,"""",IF(E11="","]",", constraint="""&amp;E11&amp;"""]"))</f>
        <v>#N/A</v>
      </c>
    </row>
    <row r="12" spans="1:5" x14ac:dyDescent="0.25">
      <c r="A12" s="6" t="e">
        <f>CONCATENATE("""",VLOOKUP(B12,Node!$B$2:C309,2,FALSE),""" -&gt; """,VLOOKUP(D12,Node!$B$2:C309,2,FALSE),""""," [label=""",C12,"""",IF(E12="","]",", constraint="""&amp;E12&amp;"""]"))</f>
        <v>#N/A</v>
      </c>
    </row>
    <row r="13" spans="1:5" x14ac:dyDescent="0.25">
      <c r="A13" s="6" t="e">
        <f>CONCATENATE("""",VLOOKUP(B13,Node!$B$2:C310,2,FALSE),""" -&gt; """,VLOOKUP(D13,Node!$B$2:C310,2,FALSE),""""," [label=""",C13,"""",IF(E13="","]",", constraint="""&amp;E13&amp;"""]"))</f>
        <v>#N/A</v>
      </c>
    </row>
    <row r="14" spans="1:5" x14ac:dyDescent="0.25">
      <c r="A14" s="6" t="e">
        <f>CONCATENATE("""",VLOOKUP(B14,Node!$B$2:C311,2,FALSE),""" -&gt; """,VLOOKUP(D14,Node!$B$2:C311,2,FALSE),""""," [label=""",C14,"""",IF(E14="","]",", constraint="""&amp;E14&amp;"""]"))</f>
        <v>#N/A</v>
      </c>
    </row>
    <row r="15" spans="1:5" x14ac:dyDescent="0.25">
      <c r="A15" s="6" t="e">
        <f>CONCATENATE("""",VLOOKUP(B15,Node!$B$2:C312,2,FALSE),""" -&gt; """,VLOOKUP(D15,Node!$B$2:C312,2,FALSE),""""," [label=""",C15,"""",IF(E15="","]",", constraint="""&amp;E15&amp;"""]"))</f>
        <v>#N/A</v>
      </c>
    </row>
    <row r="16" spans="1:5" x14ac:dyDescent="0.25">
      <c r="A16" s="6" t="e">
        <f>CONCATENATE("""",VLOOKUP(B16,Node!$B$2:C313,2,FALSE),""" -&gt; """,VLOOKUP(D16,Node!$B$2:C313,2,FALSE),""""," [label=""",C16,"""",IF(E16="","]",", constraint="""&amp;E16&amp;"""]"))</f>
        <v>#N/A</v>
      </c>
    </row>
    <row r="17" spans="1:1" x14ac:dyDescent="0.25">
      <c r="A17" s="6" t="e">
        <f>CONCATENATE("""",VLOOKUP(B17,Node!$B$2:C314,2,FALSE),""" -&gt; """,VLOOKUP(D17,Node!$B$2:C314,2,FALSE),""""," [label=""",C17,"""",IF(E17="","]",", constraint="""&amp;E17&amp;"""]"))</f>
        <v>#N/A</v>
      </c>
    </row>
    <row r="18" spans="1:1" x14ac:dyDescent="0.25">
      <c r="A18" s="6" t="e">
        <f>CONCATENATE("""",VLOOKUP(B18,Node!$B$2:C315,2,FALSE),""" -&gt; """,VLOOKUP(D18,Node!$B$2:C315,2,FALSE),""""," [label=""",C18,"""",IF(E18="","]",", constraint="""&amp;E18&amp;"""]"))</f>
        <v>#N/A</v>
      </c>
    </row>
    <row r="19" spans="1:1" x14ac:dyDescent="0.25">
      <c r="A19" s="6" t="e">
        <f>CONCATENATE("""",VLOOKUP(B19,Node!$B$2:C316,2,FALSE),""" -&gt; """,VLOOKUP(D19,Node!$B$2:C316,2,FALSE),""""," [label=""",C19,"""",IF(E19="","]",", constraint="""&amp;E19&amp;"""]"))</f>
        <v>#N/A</v>
      </c>
    </row>
    <row r="20" spans="1:1" x14ac:dyDescent="0.25">
      <c r="A20" s="6" t="e">
        <f>CONCATENATE("""",VLOOKUP(B20,Node!$B$2:C317,2,FALSE),""" -&gt; """,VLOOKUP(D20,Node!$B$2:C317,2,FALSE),""""," [label=""",C20,"""",IF(E20="","]",", constraint="""&amp;E20&amp;"""]"))</f>
        <v>#N/A</v>
      </c>
    </row>
    <row r="21" spans="1:1" x14ac:dyDescent="0.25">
      <c r="A21" s="6" t="e">
        <f>CONCATENATE("""",VLOOKUP(B21,Node!$B$2:C318,2,FALSE),""" -&gt; """,VLOOKUP(D21,Node!$B$2:C318,2,FALSE),""""," [label=""",C21,"""",IF(E21="","]",", constraint="""&amp;E21&amp;"""]"))</f>
        <v>#N/A</v>
      </c>
    </row>
    <row r="22" spans="1:1" x14ac:dyDescent="0.25">
      <c r="A22" s="6" t="e">
        <f>CONCATENATE("""",VLOOKUP(B22,Node!$B$2:C319,2,FALSE),""" -&gt; """,VLOOKUP(D22,Node!$B$2:C319,2,FALSE),""""," [label=""",C22,"""",IF(E22="","]",", constraint="""&amp;E22&amp;"""]"))</f>
        <v>#N/A</v>
      </c>
    </row>
    <row r="23" spans="1:1" x14ac:dyDescent="0.25">
      <c r="A23" s="6" t="e">
        <f>CONCATENATE("""",VLOOKUP(B23,Node!$B$2:C320,2,FALSE),""" -&gt; """,VLOOKUP(D23,Node!$B$2:C320,2,FALSE),""""," [label=""",C23,"""",IF(E23="","]",", constraint="""&amp;E23&amp;"""]"))</f>
        <v>#N/A</v>
      </c>
    </row>
    <row r="24" spans="1:1" x14ac:dyDescent="0.25">
      <c r="A24" s="6" t="e">
        <f>CONCATENATE("""",VLOOKUP(B24,Node!$B$2:C321,2,FALSE),""" -&gt; """,VLOOKUP(D24,Node!$B$2:C321,2,FALSE),""""," [label=""",C24,"""",IF(E24="","]",", constraint="""&amp;E24&amp;"""]"))</f>
        <v>#N/A</v>
      </c>
    </row>
    <row r="25" spans="1:1" x14ac:dyDescent="0.25">
      <c r="A25" s="6" t="e">
        <f>CONCATENATE("""",VLOOKUP(B25,Node!$B$2:C322,2,FALSE),""" -&gt; """,VLOOKUP(D25,Node!$B$2:C322,2,FALSE),""""," [label=""",C25,"""",IF(E25="","]",", constraint="""&amp;E25&amp;"""]"))</f>
        <v>#N/A</v>
      </c>
    </row>
    <row r="26" spans="1:1" x14ac:dyDescent="0.25">
      <c r="A26" s="6" t="e">
        <f>CONCATENATE("""",VLOOKUP(B26,Node!$B$2:C323,2,FALSE),""" -&gt; """,VLOOKUP(D26,Node!$B$2:C323,2,FALSE),""""," [label=""",C26,"""",IF(E26="","]",", constraint="""&amp;E26&amp;"""]"))</f>
        <v>#N/A</v>
      </c>
    </row>
    <row r="27" spans="1:1" x14ac:dyDescent="0.25">
      <c r="A27" s="6" t="e">
        <f>CONCATENATE("""",VLOOKUP(B27,Node!$B$2:C324,2,FALSE),""" -&gt; """,VLOOKUP(D27,Node!$B$2:C324,2,FALSE),""""," [label=""",C27,"""",IF(E27="","]",", constraint="""&amp;E27&amp;"""]"))</f>
        <v>#N/A</v>
      </c>
    </row>
    <row r="28" spans="1:1" x14ac:dyDescent="0.25">
      <c r="A28" s="6" t="e">
        <f>CONCATENATE("""",VLOOKUP(B28,Node!$B$2:C325,2,FALSE),""" -&gt; """,VLOOKUP(D28,Node!$B$2:C325,2,FALSE),""""," [label=""",C28,"""",IF(E28="","]",", constraint="""&amp;E28&amp;"""]"))</f>
        <v>#N/A</v>
      </c>
    </row>
    <row r="29" spans="1:1" x14ac:dyDescent="0.25">
      <c r="A29" s="6" t="e">
        <f>CONCATENATE("""",VLOOKUP(B29,Node!$B$2:C326,2,FALSE),""" -&gt; """,VLOOKUP(D29,Node!$B$2:C326,2,FALSE),""""," [label=""",C29,"""",IF(E29="","]",", constraint="""&amp;E29&amp;"""]"))</f>
        <v>#N/A</v>
      </c>
    </row>
    <row r="30" spans="1:1" x14ac:dyDescent="0.25">
      <c r="A30" s="6" t="e">
        <f>CONCATENATE("""",VLOOKUP(B30,Node!$B$2:C327,2,FALSE),""" -&gt; """,VLOOKUP(D30,Node!$B$2:C327,2,FALSE),""""," [label=""",C30,"""",IF(E30="","]",", constraint="""&amp;E30&amp;"""]"))</f>
        <v>#N/A</v>
      </c>
    </row>
    <row r="31" spans="1:1" x14ac:dyDescent="0.25">
      <c r="A31" s="6" t="e">
        <f>CONCATENATE("""",VLOOKUP(B31,Node!$B$2:C328,2,FALSE),""" -&gt; """,VLOOKUP(D31,Node!$B$2:C328,2,FALSE),""""," [label=""",C31,"""",IF(E31="","]",", constraint="""&amp;E31&amp;"""]"))</f>
        <v>#N/A</v>
      </c>
    </row>
    <row r="32" spans="1:1" x14ac:dyDescent="0.25">
      <c r="A32" s="6" t="e">
        <f>CONCATENATE("""",VLOOKUP(B32,Node!$B$2:C329,2,FALSE),""" -&gt; """,VLOOKUP(D32,Node!$B$2:C329,2,FALSE),""""," [label=""",C32,"""",IF(E32="","]",", constraint="""&amp;E32&amp;"""]"))</f>
        <v>#N/A</v>
      </c>
    </row>
    <row r="33" spans="1:1" x14ac:dyDescent="0.25">
      <c r="A33" s="6" t="e">
        <f>CONCATENATE("""",VLOOKUP(B33,Node!$B$2:C330,2,FALSE),""" -&gt; """,VLOOKUP(D33,Node!$B$2:C330,2,FALSE),""""," [label=""",C33,"""",IF(E33="","]",", constraint="""&amp;E33&amp;"""]"))</f>
        <v>#N/A</v>
      </c>
    </row>
    <row r="34" spans="1:1" x14ac:dyDescent="0.25">
      <c r="A34" s="6" t="e">
        <f>CONCATENATE("""",VLOOKUP(B34,Node!$B$2:C331,2,FALSE),""" -&gt; """,VLOOKUP(D34,Node!$B$2:C331,2,FALSE),""""," [label=""",C34,"""",IF(E34="","]",", constraint="""&amp;E34&amp;"""]"))</f>
        <v>#N/A</v>
      </c>
    </row>
    <row r="35" spans="1:1" x14ac:dyDescent="0.25">
      <c r="A35" s="6" t="e">
        <f>CONCATENATE("""",VLOOKUP(B35,Node!$B$2:C332,2,FALSE),""" -&gt; """,VLOOKUP(D35,Node!$B$2:C332,2,FALSE),""""," [label=""",C35,"""",IF(E35="","]",", constraint="""&amp;E35&amp;"""]"))</f>
        <v>#N/A</v>
      </c>
    </row>
    <row r="36" spans="1:1" x14ac:dyDescent="0.25">
      <c r="A36" s="6" t="e">
        <f>CONCATENATE("""",VLOOKUP(B36,Node!$B$2:C333,2,FALSE),""" -&gt; """,VLOOKUP(D36,Node!$B$2:C333,2,FALSE),""""," [label=""",C36,"""",IF(E36="","]",", constraint="""&amp;E36&amp;"""]"))</f>
        <v>#N/A</v>
      </c>
    </row>
    <row r="37" spans="1:1" x14ac:dyDescent="0.25">
      <c r="A37" s="6" t="e">
        <f>CONCATENATE("""",VLOOKUP(B37,Node!$B$2:C334,2,FALSE),""" -&gt; """,VLOOKUP(D37,Node!$B$2:C334,2,FALSE),""""," [label=""",C37,"""",IF(E37="","]",", constraint="""&amp;E37&amp;"""]"))</f>
        <v>#N/A</v>
      </c>
    </row>
    <row r="38" spans="1:1" x14ac:dyDescent="0.25">
      <c r="A38" s="6" t="e">
        <f>CONCATENATE("""",VLOOKUP(B38,Node!$B$2:C335,2,FALSE),""" -&gt; """,VLOOKUP(D38,Node!$B$2:C335,2,FALSE),""""," [label=""",C38,"""",IF(E38="","]",", constraint="""&amp;E38&amp;"""]"))</f>
        <v>#N/A</v>
      </c>
    </row>
    <row r="39" spans="1:1" x14ac:dyDescent="0.25">
      <c r="A39" s="6" t="e">
        <f>CONCATENATE("""",VLOOKUP(B39,Node!$B$2:C336,2,FALSE),""" -&gt; """,VLOOKUP(D39,Node!$B$2:C336,2,FALSE),""""," [label=""",C39,"""",IF(E39="","]",", constraint="""&amp;E39&amp;"""]"))</f>
        <v>#N/A</v>
      </c>
    </row>
    <row r="40" spans="1:1" x14ac:dyDescent="0.25">
      <c r="A40" s="6" t="e">
        <f>CONCATENATE("""",VLOOKUP(B40,Node!$B$2:C337,2,FALSE),""" -&gt; """,VLOOKUP(D40,Node!$B$2:C337,2,FALSE),""""," [label=""",C40,"""",IF(E40="","]",", constraint="""&amp;E40&amp;"""]"))</f>
        <v>#N/A</v>
      </c>
    </row>
    <row r="41" spans="1:1" x14ac:dyDescent="0.25">
      <c r="A41" s="6" t="e">
        <f>CONCATENATE("""",VLOOKUP(B41,Node!$B$2:C338,2,FALSE),""" -&gt; """,VLOOKUP(D41,Node!$B$2:C338,2,FALSE),""""," [label=""",C41,"""",IF(E41="","]",", constraint="""&amp;E41&amp;"""]"))</f>
        <v>#N/A</v>
      </c>
    </row>
    <row r="42" spans="1:1" x14ac:dyDescent="0.25">
      <c r="A42" s="6" t="e">
        <f>CONCATENATE("""",VLOOKUP(B42,Node!$B$2:C339,2,FALSE),""" -&gt; """,VLOOKUP(D42,Node!$B$2:C339,2,FALSE),""""," [label=""",C42,"""",IF(E42="","]",", constraint="""&amp;E42&amp;"""]"))</f>
        <v>#N/A</v>
      </c>
    </row>
    <row r="43" spans="1:1" x14ac:dyDescent="0.25">
      <c r="A43" s="6" t="e">
        <f>CONCATENATE("""",VLOOKUP(B43,Node!$B$2:C340,2,FALSE),""" -&gt; """,VLOOKUP(D43,Node!$B$2:C340,2,FALSE),""""," [label=""",C43,"""",IF(E43="","]",", constraint="""&amp;E43&amp;"""]"))</f>
        <v>#N/A</v>
      </c>
    </row>
    <row r="44" spans="1:1" x14ac:dyDescent="0.25">
      <c r="A44" s="6" t="e">
        <f>CONCATENATE("""",VLOOKUP(B44,Node!$B$2:C341,2,FALSE),""" -&gt; """,VLOOKUP(D44,Node!$B$2:C341,2,FALSE),""""," [label=""",C44,"""",IF(E44="","]",", constraint="""&amp;E44&amp;"""]"))</f>
        <v>#N/A</v>
      </c>
    </row>
    <row r="45" spans="1:1" x14ac:dyDescent="0.25">
      <c r="A45" s="6" t="e">
        <f>CONCATENATE("""",VLOOKUP(B45,Node!$B$2:C342,2,FALSE),""" -&gt; """,VLOOKUP(D45,Node!$B$2:C342,2,FALSE),""""," [label=""",C45,"""",IF(E45="","]",", constraint="""&amp;E45&amp;"""]"))</f>
        <v>#N/A</v>
      </c>
    </row>
    <row r="46" spans="1:1" x14ac:dyDescent="0.25">
      <c r="A46" s="6" t="e">
        <f>CONCATENATE("""",VLOOKUP(B46,Node!$B$2:C343,2,FALSE),""" -&gt; """,VLOOKUP(D46,Node!$B$2:C343,2,FALSE),""""," [label=""",C46,"""",IF(E46="","]",", constraint="""&amp;E46&amp;"""]"))</f>
        <v>#N/A</v>
      </c>
    </row>
    <row r="47" spans="1:1" x14ac:dyDescent="0.25">
      <c r="A47" s="6" t="e">
        <f>CONCATENATE("""",VLOOKUP(B47,Node!$B$2:C344,2,FALSE),""" -&gt; """,VLOOKUP(D47,Node!$B$2:C344,2,FALSE),""""," [label=""",C47,"""",IF(E47="","]",", constraint="""&amp;E47&amp;"""]"))</f>
        <v>#N/A</v>
      </c>
    </row>
    <row r="48" spans="1:1" x14ac:dyDescent="0.25">
      <c r="A48" s="6" t="e">
        <f>CONCATENATE("""",VLOOKUP(B48,Node!$B$2:C345,2,FALSE),""" -&gt; """,VLOOKUP(D48,Node!$B$2:C345,2,FALSE),""""," [label=""",C48,"""",IF(E48="","]",", constraint="""&amp;E48&amp;"""]"))</f>
        <v>#N/A</v>
      </c>
    </row>
    <row r="49" spans="1:1" x14ac:dyDescent="0.25">
      <c r="A49" s="6" t="e">
        <f>CONCATENATE("""",VLOOKUP(B49,Node!$B$2:C346,2,FALSE),""" -&gt; """,VLOOKUP(D49,Node!$B$2:C346,2,FALSE),""""," [label=""",C49,"""",IF(E49="","]",", constraint="""&amp;E49&amp;"""]"))</f>
        <v>#N/A</v>
      </c>
    </row>
    <row r="50" spans="1:1" x14ac:dyDescent="0.25">
      <c r="A50" s="6" t="e">
        <f>CONCATENATE("""",VLOOKUP(B50,Node!$B$2:C347,2,FALSE),""" -&gt; """,VLOOKUP(D50,Node!$B$2:C347,2,FALSE),""""," [label=""",C50,"""",IF(E50="","]",", constraint="""&amp;E50&amp;"""]"))</f>
        <v>#N/A</v>
      </c>
    </row>
    <row r="51" spans="1:1" x14ac:dyDescent="0.25">
      <c r="A51" s="6" t="e">
        <f>CONCATENATE("""",VLOOKUP(B51,Node!$B$2:C348,2,FALSE),""" -&gt; """,VLOOKUP(D51,Node!$B$2:C348,2,FALSE),""""," [label=""",C51,"""",IF(E51="","]",", constraint="""&amp;E51&amp;"""]"))</f>
        <v>#N/A</v>
      </c>
    </row>
    <row r="52" spans="1:1" x14ac:dyDescent="0.25">
      <c r="A52" s="6" t="e">
        <f>CONCATENATE("""",VLOOKUP(B52,Node!$B$2:C349,2,FALSE),""" -&gt; """,VLOOKUP(D52,Node!$B$2:C349,2,FALSE),""""," [label=""",C52,"""",IF(E52="","]",", constraint="""&amp;E52&amp;"""]"))</f>
        <v>#N/A</v>
      </c>
    </row>
    <row r="53" spans="1:1" x14ac:dyDescent="0.25">
      <c r="A53" s="6" t="e">
        <f>CONCATENATE("""",VLOOKUP(B53,Node!$B$2:C350,2,FALSE),""" -&gt; """,VLOOKUP(D53,Node!$B$2:C350,2,FALSE),""""," [label=""",C53,"""",IF(E53="","]",", constraint="""&amp;E53&amp;"""]"))</f>
        <v>#N/A</v>
      </c>
    </row>
    <row r="54" spans="1:1" x14ac:dyDescent="0.25">
      <c r="A54" s="6" t="e">
        <f>CONCATENATE("""",VLOOKUP(B54,Node!$B$2:C351,2,FALSE),""" -&gt; """,VLOOKUP(D54,Node!$B$2:C351,2,FALSE),""""," [label=""",C54,"""",IF(E54="","]",", constraint="""&amp;E54&amp;"""]"))</f>
        <v>#N/A</v>
      </c>
    </row>
    <row r="55" spans="1:1" x14ac:dyDescent="0.25">
      <c r="A55" s="6" t="e">
        <f>CONCATENATE("""",VLOOKUP(B55,Node!$B$2:C352,2,FALSE),""" -&gt; """,VLOOKUP(D55,Node!$B$2:C352,2,FALSE),""""," [label=""",C55,"""",IF(E55="","]",", constraint="""&amp;E55&amp;"""]"))</f>
        <v>#N/A</v>
      </c>
    </row>
    <row r="56" spans="1:1" x14ac:dyDescent="0.25">
      <c r="A56" s="6" t="e">
        <f>CONCATENATE("""",VLOOKUP(B56,Node!$B$2:C353,2,FALSE),""" -&gt; """,VLOOKUP(D56,Node!$B$2:C353,2,FALSE),""""," [label=""",C56,"""",IF(E56="","]",", constraint="""&amp;E56&amp;"""]"))</f>
        <v>#N/A</v>
      </c>
    </row>
    <row r="57" spans="1:1" x14ac:dyDescent="0.25">
      <c r="A57" s="6" t="e">
        <f>CONCATENATE("""",VLOOKUP(B57,Node!$B$2:C354,2,FALSE),""" -&gt; """,VLOOKUP(D57,Node!$B$2:C354,2,FALSE),""""," [label=""",C57,"""",IF(E57="","]",", constraint="""&amp;E57&amp;"""]"))</f>
        <v>#N/A</v>
      </c>
    </row>
    <row r="58" spans="1:1" x14ac:dyDescent="0.25">
      <c r="A58" s="6" t="e">
        <f>CONCATENATE("""",VLOOKUP(B58,Node!$B$2:C355,2,FALSE),""" -&gt; """,VLOOKUP(D58,Node!$B$2:C355,2,FALSE),""""," [label=""",C58,"""",IF(E58="","]",", constraint="""&amp;E58&amp;"""]"))</f>
        <v>#N/A</v>
      </c>
    </row>
    <row r="59" spans="1:1" x14ac:dyDescent="0.25">
      <c r="A59" s="6" t="e">
        <f>CONCATENATE("""",VLOOKUP(B59,Node!$B$2:C356,2,FALSE),""" -&gt; """,VLOOKUP(D59,Node!$B$2:C356,2,FALSE),""""," [label=""",C59,"""",IF(E59="","]",", constraint="""&amp;E59&amp;"""]"))</f>
        <v>#N/A</v>
      </c>
    </row>
    <row r="60" spans="1:1" x14ac:dyDescent="0.25">
      <c r="A60" s="6" t="e">
        <f>CONCATENATE("""",VLOOKUP(B60,Node!$B$2:C357,2,FALSE),""" -&gt; """,VLOOKUP(D60,Node!$B$2:C357,2,FALSE),""""," [label=""",C60,"""",IF(E60="","]",", constraint="""&amp;E60&amp;"""]"))</f>
        <v>#N/A</v>
      </c>
    </row>
    <row r="61" spans="1:1" x14ac:dyDescent="0.25">
      <c r="A61" s="6" t="e">
        <f>CONCATENATE("""",VLOOKUP(B61,Node!$B$2:C358,2,FALSE),""" -&gt; """,VLOOKUP(D61,Node!$B$2:C358,2,FALSE),""""," [label=""",C61,"""",IF(E61="","]",", constraint="""&amp;E61&amp;"""]"))</f>
        <v>#N/A</v>
      </c>
    </row>
    <row r="62" spans="1:1" x14ac:dyDescent="0.25">
      <c r="A62" s="6" t="e">
        <f>CONCATENATE("""",VLOOKUP(B62,Node!$B$2:C359,2,FALSE),""" -&gt; """,VLOOKUP(D62,Node!$B$2:C359,2,FALSE),""""," [label=""",C62,"""",IF(E62="","]",", constraint="""&amp;E62&amp;"""]"))</f>
        <v>#N/A</v>
      </c>
    </row>
    <row r="63" spans="1:1" x14ac:dyDescent="0.25">
      <c r="A63" s="6" t="e">
        <f>CONCATENATE("""",VLOOKUP(B63,Node!$B$2:C360,2,FALSE),""" -&gt; """,VLOOKUP(D63,Node!$B$2:C360,2,FALSE),""""," [label=""",C63,"""",IF(E63="","]",", constraint="""&amp;E63&amp;"""]"))</f>
        <v>#N/A</v>
      </c>
    </row>
    <row r="64" spans="1:1" x14ac:dyDescent="0.25">
      <c r="A64" s="6" t="e">
        <f>CONCATENATE("""",VLOOKUP(B64,Node!$B$2:C361,2,FALSE),""" -&gt; """,VLOOKUP(D64,Node!$B$2:C361,2,FALSE),""""," [label=""",C64,"""",IF(E64="","]",", constraint="""&amp;E64&amp;"""]"))</f>
        <v>#N/A</v>
      </c>
    </row>
    <row r="65" spans="1:1" x14ac:dyDescent="0.25">
      <c r="A65" s="6" t="e">
        <f>CONCATENATE("""",VLOOKUP(B65,Node!$B$2:C362,2,FALSE),""" -&gt; """,VLOOKUP(D65,Node!$B$2:C362,2,FALSE),""""," [label=""",C65,"""",IF(E65="","]",", constraint="""&amp;E65&amp;"""]"))</f>
        <v>#N/A</v>
      </c>
    </row>
  </sheetData>
  <autoFilter ref="A1:D1"/>
  <dataValidations count="1">
    <dataValidation type="list" allowBlank="1" showInputMessage="1" showErrorMessage="1" sqref="B2:B65 D2:D65">
      <formula1>Objets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Entete</vt:lpstr>
      <vt:lpstr>Node</vt:lpstr>
      <vt:lpstr>Link</vt:lpstr>
      <vt:lpstr>Objets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2016-11-07T13:38:01Z</dcterms:modified>
</cp:coreProperties>
</file>